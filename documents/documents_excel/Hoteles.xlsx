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Materiales para Equipo IPC Politécnico\"/>
    </mc:Choice>
  </mc:AlternateContent>
  <bookViews>
    <workbookView xWindow="0" yWindow="0" windowWidth="21600" windowHeight="97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M20" i="1" l="1"/>
  <c r="BM16" i="1"/>
  <c r="BL20" i="1" l="1"/>
  <c r="BL16" i="1"/>
  <c r="BK20" i="1" l="1"/>
  <c r="BK16" i="1"/>
  <c r="BJ20" i="1" l="1"/>
  <c r="BJ16" i="1"/>
  <c r="BI16" i="1" l="1"/>
  <c r="BH16" i="1" l="1"/>
  <c r="BI20" i="1" s="1"/>
  <c r="BH20" i="1" l="1"/>
  <c r="BG20" i="1"/>
  <c r="BG16" i="1"/>
  <c r="BF20" i="1" l="1"/>
  <c r="BF16" i="1"/>
  <c r="BE20" i="1" l="1"/>
  <c r="BE16" i="1"/>
  <c r="BD20" i="1" l="1"/>
  <c r="BD16" i="1"/>
  <c r="BC20" i="1" l="1"/>
  <c r="BC16" i="1"/>
  <c r="BB20" i="1" l="1"/>
  <c r="BB16" i="1"/>
  <c r="BA16" i="1" l="1"/>
  <c r="AZ16" i="1" l="1"/>
  <c r="BA20" i="1" s="1"/>
  <c r="AZ20" i="1" l="1"/>
  <c r="AY20" i="1"/>
  <c r="AY16" i="1"/>
  <c r="AX20" i="1" l="1"/>
  <c r="AX16" i="1"/>
  <c r="AW16" i="1"/>
  <c r="AV16" i="1"/>
  <c r="AW20" i="1"/>
  <c r="AU16" i="1"/>
  <c r="AV20" i="1"/>
  <c r="AT17" i="1"/>
  <c r="AU20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T16" i="1"/>
  <c r="AS16" i="1"/>
  <c r="AT20" i="1"/>
  <c r="AR16" i="1"/>
  <c r="AS20" i="1"/>
  <c r="AQ16" i="1"/>
  <c r="AR20" i="1"/>
  <c r="AP16" i="1"/>
  <c r="AQ20" i="1"/>
  <c r="AO16" i="1"/>
  <c r="AP20" i="1"/>
  <c r="AN16" i="1"/>
  <c r="AO20" i="1"/>
  <c r="AM16" i="1"/>
  <c r="AN20" i="1"/>
  <c r="AL16" i="1"/>
  <c r="AM20" i="1"/>
  <c r="AK16" i="1"/>
  <c r="AL20" i="1"/>
  <c r="AJ16" i="1"/>
  <c r="AK20" i="1"/>
  <c r="AI16" i="1"/>
  <c r="AJ20" i="1"/>
  <c r="AH16" i="1"/>
  <c r="AI20" i="1"/>
  <c r="AG16" i="1"/>
  <c r="AH20" i="1"/>
  <c r="AF16" i="1"/>
  <c r="AG20" i="1"/>
  <c r="AE16" i="1"/>
  <c r="AD16" i="1"/>
  <c r="AE20" i="1"/>
  <c r="AF20" i="1"/>
  <c r="AC16" i="1"/>
  <c r="AD20" i="1"/>
  <c r="AB16" i="1"/>
  <c r="AC20" i="1"/>
  <c r="AA16" i="1"/>
  <c r="AB20" i="1"/>
  <c r="Z16" i="1"/>
  <c r="AA20" i="1"/>
  <c r="Y16" i="1"/>
  <c r="Z20" i="1"/>
  <c r="X16" i="1"/>
  <c r="Y20" i="1"/>
  <c r="W16" i="1"/>
  <c r="X20" i="1"/>
  <c r="V16" i="1"/>
  <c r="W20" i="1"/>
  <c r="U16" i="1"/>
  <c r="V20" i="1"/>
  <c r="T16" i="1"/>
  <c r="U20" i="1"/>
  <c r="S16" i="1"/>
  <c r="T20" i="1"/>
  <c r="R16" i="1"/>
  <c r="S20" i="1"/>
  <c r="Q16" i="1"/>
  <c r="R20" i="1"/>
  <c r="M13" i="1"/>
  <c r="N13" i="1"/>
  <c r="O13" i="1"/>
  <c r="P13" i="1"/>
  <c r="P16" i="1"/>
  <c r="Q20" i="1"/>
  <c r="P17" i="1"/>
  <c r="O18" i="1"/>
  <c r="O16" i="1"/>
  <c r="O17" i="1"/>
  <c r="N18" i="1"/>
  <c r="M18" i="1"/>
  <c r="L18" i="1"/>
  <c r="I10" i="1"/>
  <c r="J10" i="1"/>
  <c r="K18" i="1"/>
  <c r="I9" i="1"/>
  <c r="J18" i="1"/>
  <c r="J17" i="1"/>
  <c r="I18" i="1"/>
  <c r="I17" i="1"/>
  <c r="F17" i="1"/>
  <c r="H17" i="1"/>
  <c r="G17" i="1"/>
  <c r="F16" i="1"/>
  <c r="E16" i="1"/>
  <c r="N16" i="1"/>
  <c r="M16" i="1"/>
  <c r="N17" i="1"/>
  <c r="N19" i="1"/>
  <c r="M19" i="1"/>
  <c r="N20" i="1"/>
  <c r="L16" i="1"/>
  <c r="M17" i="1"/>
  <c r="K16" i="1"/>
  <c r="L17" i="1"/>
  <c r="J16" i="1"/>
  <c r="K17" i="1"/>
  <c r="I16" i="1"/>
  <c r="G16" i="1"/>
  <c r="H16" i="1"/>
</calcChain>
</file>

<file path=xl/sharedStrings.xml><?xml version="1.0" encoding="utf-8"?>
<sst xmlns="http://schemas.openxmlformats.org/spreadsheetml/2006/main" count="84" uniqueCount="32">
  <si>
    <t>Portal del Sol</t>
  </si>
  <si>
    <t>Real</t>
  </si>
  <si>
    <t>Plaza</t>
  </si>
  <si>
    <t>Cirse</t>
  </si>
  <si>
    <t>Turismo</t>
  </si>
  <si>
    <t>España</t>
  </si>
  <si>
    <t>Costanera</t>
  </si>
  <si>
    <t>Génesis</t>
  </si>
  <si>
    <t>Rommy</t>
  </si>
  <si>
    <t>Las Kalas</t>
  </si>
  <si>
    <t>San Martín</t>
  </si>
  <si>
    <t>GEOMÉTRICO</t>
  </si>
  <si>
    <t xml:space="preserve"> </t>
  </si>
  <si>
    <t>Formosa</t>
  </si>
  <si>
    <t>Howard Johnson</t>
  </si>
  <si>
    <t>Regina</t>
  </si>
  <si>
    <t>***</t>
  </si>
  <si>
    <t>****</t>
  </si>
  <si>
    <t>**</t>
  </si>
  <si>
    <t>*</t>
  </si>
  <si>
    <t>sindical</t>
  </si>
  <si>
    <t>no funciona</t>
  </si>
  <si>
    <t>hospedaje</t>
  </si>
  <si>
    <t>categoría</t>
  </si>
  <si>
    <t>Relativo</t>
  </si>
  <si>
    <t>Aquí solo se calcula la MG de precios por mes</t>
  </si>
  <si>
    <t>No hay imputaciones</t>
  </si>
  <si>
    <t>Estos precios se pasan por foto una vez al mes</t>
  </si>
  <si>
    <t>Variedad</t>
  </si>
  <si>
    <t>Variedad_desc</t>
  </si>
  <si>
    <t>Hotelería turística Litoral</t>
  </si>
  <si>
    <t>INFORMANTE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</si>
</sst>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4">
    <xf numFmtId="0" fontId="0" fillId="0" borderId="0" xfId="0"/>
    <xf numFmtId="17" fontId="0" fillId="0" borderId="0" xfId="0" applyNumberFormat="1"/>
    <xf numFmtId="0" fontId="0" fillId="0" borderId="0" xfId="0" applyAlignment="1">
      <alignment horizontal="center"/>
    </xf>
    <xf numFmtId="0" fontId="0" fillId="0" borderId="0" xfId="0" applyFill="1"/>
    <xf numFmtId="2" fontId="1" fillId="0" borderId="0" xfId="0" applyNumberFormat="1" applyFont="1"/>
    <xf numFmtId="17" fontId="0" fillId="0" borderId="0" xfId="0" applyNumberFormat="1" applyFill="1"/>
    <xf numFmtId="2" fontId="1" fillId="0" borderId="0" xfId="0" applyNumberFormat="1" applyFont="1" applyAlignment="1">
      <alignment horizontal="right"/>
    </xf>
    <xf numFmtId="0" fontId="1" fillId="0" borderId="0" xfId="0" applyFont="1"/>
    <xf numFmtId="0" fontId="2" fillId="2" borderId="0" xfId="0" applyFont="1" applyFill="1"/>
    <xf numFmtId="9" fontId="0" fillId="0" borderId="0" xfId="1" applyFont="1"/>
    <xf numFmtId="0" fontId="0" fillId="3" borderId="0" xfId="0" applyFill="1"/>
    <xf numFmtId="0" fontId="1" fillId="3" borderId="0" xfId="0" applyFont="1" applyFill="1"/>
    <xf numFmtId="0" fontId="0" fillId="0" borderId="0" xfId="0" applyFont="1"/>
    <xf numFmtId="0" fontId="4" fillId="0" borderId="0" xfId="0" applyFont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65</xdr:col>
      <xdr:colOff>378024</xdr:colOff>
      <xdr:row>0</xdr:row>
      <xdr:rowOff>180975</xdr:rowOff>
    </xdr:from>
    <xdr:to>
      <xdr:col>68</xdr:col>
      <xdr:colOff>229791</xdr:colOff>
      <xdr:row>20</xdr:row>
      <xdr:rowOff>38100</xdr:rowOff>
    </xdr:to>
    <xdr:pic>
      <xdr:nvPicPr>
        <xdr:cNvPr id="2" name="Imagen 1" descr="C:\Users\Usuario\Downloads\WhatsApp Image 2026-10-09 at 12.55.02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80474" y="180975"/>
          <a:ext cx="2137767" cy="3800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28"/>
  <sheetViews>
    <sheetView tabSelected="1" workbookViewId="0">
      <pane xSplit="3" topLeftCell="D1" activePane="topRight" state="frozen"/>
      <selection pane="topRight" activeCell="C16" sqref="C16"/>
    </sheetView>
  </sheetViews>
  <sheetFormatPr baseColWidth="10" defaultRowHeight="15" x14ac:dyDescent="0.25"/>
  <cols>
    <col min="2" max="2" width="14" bestFit="1" customWidth="1"/>
    <col min="3" max="3" width="15.5703125" bestFit="1" customWidth="1"/>
    <col min="4" max="4" width="15.5703125" customWidth="1"/>
    <col min="5" max="8" width="0" hidden="1" customWidth="1"/>
    <col min="9" max="9" width="12" hidden="1" customWidth="1"/>
    <col min="10" max="13" width="0" hidden="1" customWidth="1"/>
    <col min="14" max="14" width="0" style="3" hidden="1" customWidth="1"/>
    <col min="15" max="42" width="0" hidden="1" customWidth="1"/>
  </cols>
  <sheetData>
    <row r="1" spans="1:66" x14ac:dyDescent="0.25">
      <c r="A1" t="s">
        <v>28</v>
      </c>
      <c r="B1" t="s">
        <v>29</v>
      </c>
      <c r="C1" t="s">
        <v>31</v>
      </c>
      <c r="D1" s="2" t="s">
        <v>23</v>
      </c>
      <c r="E1" s="1">
        <v>44440</v>
      </c>
      <c r="F1" s="1">
        <v>44470</v>
      </c>
      <c r="G1" s="1">
        <v>44501</v>
      </c>
      <c r="H1" s="1">
        <v>44531</v>
      </c>
      <c r="I1" s="1">
        <v>44562</v>
      </c>
      <c r="J1" s="1">
        <v>44593</v>
      </c>
      <c r="K1" s="1">
        <v>44621</v>
      </c>
      <c r="L1" s="1">
        <v>44652</v>
      </c>
      <c r="M1" s="1">
        <v>44682</v>
      </c>
      <c r="N1" s="5">
        <v>44713</v>
      </c>
      <c r="O1" s="5">
        <v>44743</v>
      </c>
      <c r="P1" s="1">
        <v>44774</v>
      </c>
      <c r="Q1" s="1">
        <v>44805</v>
      </c>
      <c r="R1" s="1">
        <v>44835</v>
      </c>
      <c r="S1" s="1">
        <v>44866</v>
      </c>
      <c r="T1" s="1">
        <v>44896</v>
      </c>
      <c r="U1" s="1">
        <v>44927</v>
      </c>
      <c r="V1" s="1">
        <v>44958</v>
      </c>
      <c r="W1" s="1">
        <v>44986</v>
      </c>
      <c r="X1" s="1">
        <v>45017</v>
      </c>
      <c r="Y1" s="1">
        <v>45047</v>
      </c>
      <c r="Z1" s="1">
        <v>45078</v>
      </c>
      <c r="AA1" s="1">
        <v>45108</v>
      </c>
      <c r="AB1" s="1">
        <v>45139</v>
      </c>
      <c r="AC1" s="1">
        <v>45170</v>
      </c>
      <c r="AD1" s="1">
        <v>45200</v>
      </c>
      <c r="AE1" s="1">
        <v>45231</v>
      </c>
      <c r="AF1" s="1">
        <v>45261</v>
      </c>
      <c r="AG1" s="1">
        <v>45292</v>
      </c>
      <c r="AH1" s="1">
        <v>45323</v>
      </c>
      <c r="AI1" s="1">
        <v>45352</v>
      </c>
      <c r="AJ1" s="1">
        <v>45383</v>
      </c>
      <c r="AK1" s="1">
        <v>45413</v>
      </c>
      <c r="AL1" s="1">
        <v>45444</v>
      </c>
      <c r="AM1" s="1">
        <v>45474</v>
      </c>
      <c r="AN1" s="1">
        <v>45505</v>
      </c>
      <c r="AO1" s="1">
        <v>45536</v>
      </c>
      <c r="AP1" s="1">
        <v>45566</v>
      </c>
      <c r="AQ1" s="1">
        <v>45597</v>
      </c>
      <c r="AR1" s="1">
        <v>45627</v>
      </c>
      <c r="AS1" s="1">
        <v>45658</v>
      </c>
      <c r="AT1" s="1">
        <v>45689</v>
      </c>
      <c r="AU1" s="1">
        <v>45717</v>
      </c>
      <c r="AV1" s="1">
        <v>45748</v>
      </c>
      <c r="AW1" s="1">
        <v>45778</v>
      </c>
      <c r="AX1" s="1">
        <v>45809</v>
      </c>
      <c r="AY1" s="1">
        <v>45839</v>
      </c>
      <c r="AZ1" s="1">
        <v>45870</v>
      </c>
      <c r="BA1" s="1">
        <v>45901</v>
      </c>
      <c r="BB1" s="1">
        <v>45931</v>
      </c>
      <c r="BC1" s="1">
        <v>45962</v>
      </c>
      <c r="BD1" s="1">
        <v>45992</v>
      </c>
      <c r="BE1" s="1">
        <v>46023</v>
      </c>
      <c r="BF1" s="1">
        <v>46054</v>
      </c>
      <c r="BG1" s="1">
        <v>46082</v>
      </c>
      <c r="BH1" s="1">
        <v>46113</v>
      </c>
      <c r="BI1" s="1">
        <v>46143</v>
      </c>
      <c r="BJ1" s="1">
        <v>46174</v>
      </c>
      <c r="BK1" s="1">
        <v>46204</v>
      </c>
      <c r="BL1" s="1">
        <v>46235</v>
      </c>
      <c r="BM1" s="1">
        <v>46266</v>
      </c>
    </row>
    <row r="2" spans="1:66" ht="15.75" x14ac:dyDescent="0.25">
      <c r="A2">
        <v>7121104</v>
      </c>
      <c r="B2" t="s">
        <v>30</v>
      </c>
      <c r="C2" t="s">
        <v>0</v>
      </c>
      <c r="D2" s="13" t="s">
        <v>16</v>
      </c>
      <c r="E2">
        <v>3555</v>
      </c>
      <c r="F2">
        <v>4000</v>
      </c>
      <c r="G2">
        <v>4500</v>
      </c>
      <c r="H2">
        <v>4500</v>
      </c>
      <c r="I2">
        <v>5600</v>
      </c>
      <c r="J2">
        <v>6500</v>
      </c>
      <c r="K2">
        <v>7200</v>
      </c>
      <c r="L2">
        <v>8500</v>
      </c>
      <c r="M2">
        <v>8200</v>
      </c>
      <c r="N2" s="3">
        <v>8200</v>
      </c>
      <c r="O2" s="3">
        <v>9500</v>
      </c>
      <c r="P2" s="3">
        <v>9500</v>
      </c>
      <c r="Q2" s="3">
        <v>8000</v>
      </c>
      <c r="R2" s="3">
        <v>8000</v>
      </c>
      <c r="S2" s="3">
        <v>9500</v>
      </c>
      <c r="T2" s="3">
        <v>9500</v>
      </c>
      <c r="U2">
        <v>9500</v>
      </c>
      <c r="V2">
        <v>9500</v>
      </c>
      <c r="W2">
        <v>9500</v>
      </c>
      <c r="X2">
        <v>11500</v>
      </c>
      <c r="Y2">
        <v>11500</v>
      </c>
      <c r="Z2">
        <v>11500</v>
      </c>
      <c r="AA2">
        <v>10500</v>
      </c>
      <c r="AB2">
        <v>10500</v>
      </c>
      <c r="AC2">
        <v>23000</v>
      </c>
      <c r="AD2">
        <v>23000</v>
      </c>
      <c r="AE2" s="10">
        <v>25000</v>
      </c>
      <c r="AF2">
        <v>25000</v>
      </c>
      <c r="AG2">
        <v>30000</v>
      </c>
      <c r="AH2">
        <v>35000</v>
      </c>
      <c r="AI2">
        <v>40000</v>
      </c>
      <c r="AJ2">
        <v>40000</v>
      </c>
      <c r="AK2" s="12">
        <v>40000</v>
      </c>
      <c r="AL2" s="12">
        <v>45000</v>
      </c>
      <c r="AM2" s="12">
        <v>45000</v>
      </c>
      <c r="AN2" s="12">
        <v>45000</v>
      </c>
      <c r="AO2" s="12">
        <v>60000</v>
      </c>
      <c r="AP2" s="12">
        <v>60000</v>
      </c>
      <c r="AQ2" s="12">
        <v>60000</v>
      </c>
      <c r="AR2" s="12">
        <v>60000</v>
      </c>
      <c r="AS2" s="12">
        <v>60000</v>
      </c>
      <c r="AT2" s="12">
        <v>60000</v>
      </c>
      <c r="AU2" s="12">
        <v>55000</v>
      </c>
      <c r="AV2" s="12">
        <v>60000</v>
      </c>
      <c r="AW2" s="12">
        <v>60000</v>
      </c>
      <c r="AX2" s="12">
        <v>60000</v>
      </c>
      <c r="AY2" s="12">
        <v>60000</v>
      </c>
      <c r="AZ2" s="12">
        <v>60000</v>
      </c>
      <c r="BA2" s="12">
        <v>60000</v>
      </c>
      <c r="BB2" s="12">
        <v>60000</v>
      </c>
      <c r="BC2" s="12">
        <v>65000</v>
      </c>
      <c r="BD2" s="12">
        <v>50000</v>
      </c>
      <c r="BE2" s="12">
        <v>60000</v>
      </c>
      <c r="BF2" s="12">
        <v>65000</v>
      </c>
      <c r="BG2" s="12">
        <v>65000</v>
      </c>
      <c r="BH2" s="12">
        <v>65000</v>
      </c>
      <c r="BI2" s="12">
        <v>60000</v>
      </c>
      <c r="BJ2" s="12">
        <v>60000</v>
      </c>
      <c r="BK2">
        <v>60000</v>
      </c>
      <c r="BL2">
        <v>75000</v>
      </c>
      <c r="BM2">
        <v>80000</v>
      </c>
      <c r="BN2" s="9"/>
    </row>
    <row r="3" spans="1:66" ht="15.75" x14ac:dyDescent="0.25">
      <c r="A3">
        <v>7121104</v>
      </c>
      <c r="B3" t="s">
        <v>30</v>
      </c>
      <c r="C3" t="s">
        <v>1</v>
      </c>
      <c r="D3" s="13" t="s">
        <v>19</v>
      </c>
      <c r="E3">
        <v>1975</v>
      </c>
      <c r="F3">
        <v>3700</v>
      </c>
      <c r="G3">
        <v>4000</v>
      </c>
      <c r="H3">
        <v>3000</v>
      </c>
      <c r="I3">
        <v>3000</v>
      </c>
      <c r="J3">
        <v>3000</v>
      </c>
      <c r="K3">
        <v>3000</v>
      </c>
      <c r="L3">
        <v>3000</v>
      </c>
      <c r="M3">
        <v>4000</v>
      </c>
      <c r="N3" s="3">
        <v>4000</v>
      </c>
      <c r="O3" s="3">
        <v>4000</v>
      </c>
      <c r="P3" s="3">
        <v>4000</v>
      </c>
      <c r="Q3" s="3">
        <v>4500</v>
      </c>
      <c r="R3" s="3">
        <v>4500</v>
      </c>
      <c r="S3" s="3">
        <v>5000</v>
      </c>
      <c r="T3" s="3">
        <v>5000</v>
      </c>
      <c r="U3">
        <v>6500</v>
      </c>
      <c r="V3">
        <v>6500</v>
      </c>
      <c r="W3">
        <v>6500</v>
      </c>
      <c r="X3">
        <v>8000</v>
      </c>
      <c r="Y3">
        <v>8000</v>
      </c>
      <c r="Z3">
        <v>8000</v>
      </c>
      <c r="AA3">
        <v>9000</v>
      </c>
      <c r="AB3">
        <v>9000</v>
      </c>
      <c r="AC3">
        <v>11000</v>
      </c>
      <c r="AD3">
        <v>11000</v>
      </c>
      <c r="AE3" s="10">
        <v>12000</v>
      </c>
      <c r="AF3">
        <v>14000</v>
      </c>
      <c r="AG3">
        <v>16000</v>
      </c>
      <c r="AH3">
        <v>16000</v>
      </c>
      <c r="AI3">
        <v>16000</v>
      </c>
      <c r="AJ3">
        <v>18000</v>
      </c>
      <c r="AK3">
        <v>20000</v>
      </c>
      <c r="AL3">
        <v>20000</v>
      </c>
      <c r="AM3">
        <v>22000</v>
      </c>
      <c r="AN3">
        <v>22000</v>
      </c>
      <c r="AO3">
        <v>25000</v>
      </c>
      <c r="AP3">
        <v>30000</v>
      </c>
      <c r="AQ3">
        <v>30000</v>
      </c>
      <c r="AR3">
        <v>30000</v>
      </c>
      <c r="AS3">
        <v>30000</v>
      </c>
      <c r="AT3">
        <v>30000</v>
      </c>
      <c r="AU3">
        <v>35000</v>
      </c>
      <c r="AV3">
        <v>35000</v>
      </c>
      <c r="AW3">
        <v>35000</v>
      </c>
      <c r="AX3">
        <v>38000</v>
      </c>
      <c r="AY3">
        <v>42000</v>
      </c>
      <c r="AZ3" s="7">
        <v>42000</v>
      </c>
      <c r="BA3">
        <v>42000</v>
      </c>
      <c r="BB3">
        <v>42000</v>
      </c>
      <c r="BC3">
        <v>48000</v>
      </c>
      <c r="BD3">
        <v>48000</v>
      </c>
      <c r="BE3">
        <v>50000</v>
      </c>
      <c r="BF3">
        <v>45000</v>
      </c>
      <c r="BG3">
        <v>50000</v>
      </c>
      <c r="BH3">
        <v>50000</v>
      </c>
      <c r="BI3">
        <v>50000</v>
      </c>
      <c r="BJ3">
        <v>50000</v>
      </c>
      <c r="BK3">
        <v>50000</v>
      </c>
      <c r="BL3">
        <v>55000</v>
      </c>
      <c r="BM3">
        <v>55000</v>
      </c>
      <c r="BN3" s="9"/>
    </row>
    <row r="4" spans="1:66" ht="15.75" x14ac:dyDescent="0.25">
      <c r="A4">
        <v>7121104</v>
      </c>
      <c r="B4" t="s">
        <v>30</v>
      </c>
      <c r="C4" t="s">
        <v>2</v>
      </c>
      <c r="D4" s="13" t="s">
        <v>16</v>
      </c>
      <c r="E4">
        <v>3555</v>
      </c>
      <c r="F4">
        <v>4000</v>
      </c>
      <c r="G4">
        <v>4500</v>
      </c>
      <c r="H4">
        <v>4500</v>
      </c>
      <c r="I4">
        <v>4500</v>
      </c>
      <c r="J4">
        <v>4500</v>
      </c>
      <c r="K4">
        <v>5000</v>
      </c>
      <c r="L4">
        <v>5000</v>
      </c>
      <c r="M4">
        <v>5000</v>
      </c>
      <c r="N4" s="3">
        <v>7500</v>
      </c>
      <c r="O4" s="3">
        <v>7500</v>
      </c>
      <c r="P4" s="3">
        <v>7500</v>
      </c>
      <c r="Q4" s="3">
        <v>7500</v>
      </c>
      <c r="R4" s="3">
        <v>7800</v>
      </c>
      <c r="S4" s="3">
        <v>8000</v>
      </c>
      <c r="T4" s="3">
        <v>8000</v>
      </c>
      <c r="U4">
        <v>8000</v>
      </c>
      <c r="V4">
        <v>8000</v>
      </c>
      <c r="W4">
        <v>8000</v>
      </c>
      <c r="X4">
        <v>12000</v>
      </c>
      <c r="Y4">
        <v>12000</v>
      </c>
      <c r="Z4">
        <v>12000</v>
      </c>
      <c r="AA4">
        <v>14500</v>
      </c>
      <c r="AB4">
        <v>14500</v>
      </c>
      <c r="AC4">
        <v>18000</v>
      </c>
      <c r="AD4">
        <v>20000</v>
      </c>
      <c r="AE4" s="10">
        <v>22000</v>
      </c>
      <c r="AF4">
        <v>24000</v>
      </c>
      <c r="AG4">
        <v>22000</v>
      </c>
      <c r="AH4">
        <v>30800</v>
      </c>
      <c r="AI4">
        <v>32000</v>
      </c>
      <c r="AJ4">
        <v>32000</v>
      </c>
      <c r="AK4">
        <v>36000</v>
      </c>
      <c r="AL4">
        <v>36000</v>
      </c>
      <c r="AM4">
        <v>42500</v>
      </c>
      <c r="AN4">
        <v>42500</v>
      </c>
      <c r="AO4">
        <v>50000</v>
      </c>
      <c r="AP4">
        <v>55000</v>
      </c>
      <c r="AQ4">
        <v>55000</v>
      </c>
      <c r="AR4">
        <v>55000</v>
      </c>
      <c r="AS4">
        <v>55000</v>
      </c>
      <c r="AT4">
        <v>60000</v>
      </c>
      <c r="AU4">
        <v>57000</v>
      </c>
      <c r="AV4">
        <v>50000</v>
      </c>
      <c r="AW4">
        <v>50000</v>
      </c>
      <c r="AX4">
        <v>50000</v>
      </c>
      <c r="AY4">
        <v>65000</v>
      </c>
      <c r="AZ4">
        <v>65000</v>
      </c>
      <c r="BA4">
        <v>65000</v>
      </c>
      <c r="BB4">
        <v>65000</v>
      </c>
      <c r="BC4">
        <v>65000</v>
      </c>
      <c r="BD4">
        <v>65000</v>
      </c>
      <c r="BE4">
        <v>60000</v>
      </c>
      <c r="BF4">
        <v>60000</v>
      </c>
      <c r="BG4">
        <v>70000</v>
      </c>
      <c r="BH4">
        <v>70000</v>
      </c>
      <c r="BI4">
        <v>70000</v>
      </c>
      <c r="BJ4">
        <v>90000</v>
      </c>
      <c r="BK4">
        <v>90000</v>
      </c>
      <c r="BL4">
        <v>90000</v>
      </c>
      <c r="BM4">
        <v>90000</v>
      </c>
      <c r="BN4" s="9"/>
    </row>
    <row r="5" spans="1:66" ht="15.75" x14ac:dyDescent="0.25">
      <c r="A5">
        <v>7121104</v>
      </c>
      <c r="B5" t="s">
        <v>30</v>
      </c>
      <c r="C5" t="s">
        <v>3</v>
      </c>
      <c r="D5" s="13" t="s">
        <v>20</v>
      </c>
      <c r="E5">
        <v>2370</v>
      </c>
      <c r="F5">
        <v>3000</v>
      </c>
      <c r="G5">
        <v>3000</v>
      </c>
      <c r="H5">
        <v>3000</v>
      </c>
      <c r="I5">
        <v>3000</v>
      </c>
      <c r="J5">
        <v>3000</v>
      </c>
      <c r="K5">
        <v>3200</v>
      </c>
      <c r="L5">
        <v>3000</v>
      </c>
      <c r="M5">
        <v>3200</v>
      </c>
      <c r="N5" s="3">
        <v>3200</v>
      </c>
      <c r="O5" s="3">
        <v>3500</v>
      </c>
      <c r="P5" s="3">
        <v>3600</v>
      </c>
      <c r="Q5" s="3">
        <v>3600</v>
      </c>
      <c r="R5" s="3">
        <v>4000</v>
      </c>
      <c r="S5" s="3">
        <v>5000</v>
      </c>
      <c r="T5" s="3">
        <v>5000</v>
      </c>
      <c r="U5">
        <v>5000</v>
      </c>
      <c r="V5">
        <v>5000</v>
      </c>
      <c r="W5">
        <v>5000</v>
      </c>
      <c r="X5">
        <v>7000</v>
      </c>
      <c r="Y5">
        <v>7000</v>
      </c>
      <c r="Z5">
        <v>8000</v>
      </c>
      <c r="AA5">
        <v>9000</v>
      </c>
      <c r="AB5">
        <v>9000</v>
      </c>
      <c r="AC5">
        <v>11000</v>
      </c>
      <c r="AD5">
        <v>11000</v>
      </c>
      <c r="AE5" s="10">
        <v>12000</v>
      </c>
      <c r="AF5">
        <v>12000</v>
      </c>
      <c r="AG5">
        <v>15000</v>
      </c>
      <c r="AH5">
        <v>15000</v>
      </c>
      <c r="AI5">
        <v>20000</v>
      </c>
      <c r="AJ5">
        <v>20000</v>
      </c>
      <c r="AK5">
        <v>30000</v>
      </c>
      <c r="AL5">
        <v>30000</v>
      </c>
      <c r="AM5">
        <v>30000</v>
      </c>
      <c r="AN5">
        <v>30000</v>
      </c>
      <c r="AO5">
        <v>35000</v>
      </c>
      <c r="AP5">
        <v>35000</v>
      </c>
      <c r="AQ5">
        <v>35000</v>
      </c>
      <c r="AR5">
        <v>35000</v>
      </c>
      <c r="AS5">
        <v>36000</v>
      </c>
      <c r="AT5">
        <v>40000</v>
      </c>
      <c r="AU5">
        <v>40000</v>
      </c>
      <c r="AV5">
        <v>45000</v>
      </c>
      <c r="AW5">
        <v>45000</v>
      </c>
      <c r="AX5">
        <v>45000</v>
      </c>
      <c r="AY5">
        <v>45000</v>
      </c>
      <c r="AZ5">
        <v>45000</v>
      </c>
      <c r="BA5">
        <v>45000</v>
      </c>
      <c r="BB5">
        <v>45000</v>
      </c>
      <c r="BC5">
        <v>45000</v>
      </c>
      <c r="BD5">
        <v>45000</v>
      </c>
      <c r="BE5">
        <v>45000</v>
      </c>
      <c r="BF5">
        <v>40000</v>
      </c>
      <c r="BG5">
        <v>50000</v>
      </c>
      <c r="BH5">
        <v>50000</v>
      </c>
      <c r="BI5">
        <v>45000</v>
      </c>
      <c r="BJ5">
        <v>50000</v>
      </c>
      <c r="BK5">
        <v>50000</v>
      </c>
      <c r="BL5">
        <v>50000</v>
      </c>
      <c r="BM5">
        <v>50000</v>
      </c>
      <c r="BN5" s="9"/>
    </row>
    <row r="6" spans="1:66" ht="15.75" x14ac:dyDescent="0.25">
      <c r="A6">
        <v>7121104</v>
      </c>
      <c r="B6" t="s">
        <v>30</v>
      </c>
      <c r="C6" t="s">
        <v>4</v>
      </c>
      <c r="D6" s="13" t="s">
        <v>21</v>
      </c>
      <c r="E6">
        <v>4740</v>
      </c>
      <c r="F6">
        <v>5500</v>
      </c>
      <c r="G6">
        <v>6000</v>
      </c>
      <c r="H6">
        <v>6000</v>
      </c>
      <c r="I6">
        <v>6000</v>
      </c>
      <c r="J6">
        <v>6000</v>
      </c>
      <c r="K6">
        <v>6000</v>
      </c>
      <c r="L6">
        <v>8000</v>
      </c>
      <c r="M6">
        <v>8000</v>
      </c>
      <c r="N6" s="3">
        <v>8000</v>
      </c>
      <c r="O6" s="3">
        <v>9000</v>
      </c>
      <c r="P6" s="3">
        <v>9000</v>
      </c>
      <c r="Q6" s="3">
        <v>9000</v>
      </c>
      <c r="R6" s="3">
        <v>9000</v>
      </c>
      <c r="S6" s="3">
        <v>10000</v>
      </c>
      <c r="T6" s="3">
        <v>10000</v>
      </c>
      <c r="U6">
        <v>10000</v>
      </c>
      <c r="V6">
        <v>10000</v>
      </c>
      <c r="W6">
        <v>10000</v>
      </c>
      <c r="X6">
        <v>16000</v>
      </c>
      <c r="Y6">
        <v>16000</v>
      </c>
      <c r="Z6">
        <v>16800</v>
      </c>
      <c r="AA6">
        <v>18000</v>
      </c>
      <c r="AB6">
        <v>18000</v>
      </c>
      <c r="AC6">
        <v>22000</v>
      </c>
      <c r="AD6">
        <v>22000</v>
      </c>
      <c r="AE6" s="11">
        <f>AD6*1.12</f>
        <v>24640.000000000004</v>
      </c>
      <c r="AF6" s="7">
        <f>AE6*1.02</f>
        <v>25132.800000000003</v>
      </c>
      <c r="AG6" s="7">
        <f>AF6*1.22</f>
        <v>30662.016000000003</v>
      </c>
      <c r="AH6" s="7">
        <f>AG6*1.12937713</f>
        <v>34628.97963009408</v>
      </c>
      <c r="AI6" s="7">
        <f>AH6*1.10208348</f>
        <v>38164.026379583192</v>
      </c>
      <c r="AJ6" s="7">
        <f>AI6*1.054182</f>
        <v>40231.829656881768</v>
      </c>
      <c r="AK6" s="7">
        <f>AJ6*1.05430898</f>
        <v>42416.779289080769</v>
      </c>
      <c r="AL6" s="7">
        <f>AK6*1.01007407</f>
        <v>42844.088892813517</v>
      </c>
      <c r="AM6" s="7">
        <f>AL6*1.12697818</f>
        <v>48284.353324181197</v>
      </c>
      <c r="AN6" s="7">
        <f>AM6</f>
        <v>48284.353324181197</v>
      </c>
      <c r="AO6" s="7">
        <f>AN6*1.09101571</f>
        <v>52678.988023872407</v>
      </c>
      <c r="AP6" s="7">
        <f>AO6*1.0672012</f>
        <v>56219.079233862256</v>
      </c>
      <c r="AQ6" s="7">
        <f>AP6*1.07636711</f>
        <v>60512.367841813335</v>
      </c>
      <c r="AR6" s="7">
        <f>AQ6*1.00249043</f>
        <v>60663.069658057619</v>
      </c>
      <c r="AS6" s="7">
        <f>AR6*1.04629961</f>
        <v>63471.746124628517</v>
      </c>
      <c r="AT6" s="7">
        <f>AS6*1.10884277</f>
        <v>70380.186789569852</v>
      </c>
      <c r="BK6" t="s">
        <v>12</v>
      </c>
    </row>
    <row r="7" spans="1:66" ht="15.75" x14ac:dyDescent="0.25">
      <c r="A7">
        <v>7121104</v>
      </c>
      <c r="B7" t="s">
        <v>30</v>
      </c>
      <c r="C7" t="s">
        <v>5</v>
      </c>
      <c r="D7" s="13" t="s">
        <v>22</v>
      </c>
      <c r="E7">
        <v>1580</v>
      </c>
      <c r="F7">
        <v>2200</v>
      </c>
      <c r="G7">
        <v>2500</v>
      </c>
      <c r="H7">
        <v>3500</v>
      </c>
      <c r="I7">
        <v>2000</v>
      </c>
      <c r="J7">
        <v>2000</v>
      </c>
      <c r="K7">
        <v>3000</v>
      </c>
      <c r="L7">
        <v>3000</v>
      </c>
      <c r="M7">
        <v>2500</v>
      </c>
      <c r="N7" s="3">
        <v>3000</v>
      </c>
      <c r="O7" s="3">
        <v>3000</v>
      </c>
      <c r="P7" s="3">
        <v>3000</v>
      </c>
      <c r="Q7" s="3">
        <v>3500</v>
      </c>
      <c r="R7" s="3">
        <v>4000</v>
      </c>
      <c r="S7" s="3">
        <v>4000</v>
      </c>
      <c r="T7" s="3">
        <v>3500</v>
      </c>
      <c r="U7">
        <v>4000</v>
      </c>
      <c r="V7">
        <v>4000</v>
      </c>
      <c r="W7">
        <v>4000</v>
      </c>
      <c r="X7">
        <v>5000</v>
      </c>
      <c r="Y7">
        <v>5500</v>
      </c>
      <c r="Z7">
        <v>5500</v>
      </c>
      <c r="AA7">
        <v>6000</v>
      </c>
      <c r="AB7">
        <v>6000</v>
      </c>
      <c r="AC7">
        <v>8000</v>
      </c>
      <c r="AD7">
        <v>8000</v>
      </c>
      <c r="AE7" s="10">
        <v>8000</v>
      </c>
      <c r="AF7">
        <v>8000</v>
      </c>
      <c r="AG7">
        <v>12000</v>
      </c>
      <c r="AH7">
        <v>12000</v>
      </c>
      <c r="AI7">
        <v>15000</v>
      </c>
      <c r="AJ7">
        <v>15000</v>
      </c>
      <c r="AK7">
        <v>12000</v>
      </c>
      <c r="AL7">
        <v>12000</v>
      </c>
      <c r="AM7">
        <v>18000</v>
      </c>
      <c r="AN7">
        <v>18000</v>
      </c>
      <c r="AO7">
        <v>18000</v>
      </c>
      <c r="AP7">
        <v>20000</v>
      </c>
      <c r="AQ7">
        <v>20000</v>
      </c>
      <c r="AR7">
        <v>20000</v>
      </c>
      <c r="AS7">
        <v>20000</v>
      </c>
      <c r="AT7">
        <v>25000</v>
      </c>
      <c r="AU7">
        <v>25000</v>
      </c>
      <c r="AV7">
        <v>25000</v>
      </c>
      <c r="AW7">
        <v>28000</v>
      </c>
      <c r="AX7">
        <v>30000</v>
      </c>
      <c r="AY7">
        <v>30000</v>
      </c>
      <c r="AZ7">
        <v>30000</v>
      </c>
      <c r="BA7">
        <v>31000</v>
      </c>
      <c r="BB7">
        <v>40000</v>
      </c>
      <c r="BC7">
        <v>40000</v>
      </c>
      <c r="BD7">
        <v>40000</v>
      </c>
      <c r="BE7">
        <v>40000</v>
      </c>
      <c r="BF7">
        <v>35000</v>
      </c>
      <c r="BG7">
        <v>35000</v>
      </c>
      <c r="BH7">
        <v>35000</v>
      </c>
      <c r="BI7">
        <v>35000</v>
      </c>
      <c r="BJ7">
        <v>35000</v>
      </c>
      <c r="BK7">
        <v>35000</v>
      </c>
      <c r="BL7">
        <v>50000</v>
      </c>
      <c r="BM7">
        <v>35000</v>
      </c>
      <c r="BN7" s="9"/>
    </row>
    <row r="8" spans="1:66" ht="15.75" x14ac:dyDescent="0.25">
      <c r="A8">
        <v>7121104</v>
      </c>
      <c r="B8" t="s">
        <v>30</v>
      </c>
      <c r="C8" t="s">
        <v>6</v>
      </c>
      <c r="D8" s="13"/>
      <c r="E8">
        <v>1975</v>
      </c>
      <c r="F8">
        <v>2500</v>
      </c>
      <c r="G8">
        <v>3000</v>
      </c>
      <c r="H8">
        <v>3000</v>
      </c>
      <c r="I8">
        <v>3000</v>
      </c>
      <c r="J8">
        <v>3500</v>
      </c>
      <c r="K8">
        <v>4000</v>
      </c>
      <c r="L8">
        <v>3000</v>
      </c>
      <c r="M8">
        <v>4000</v>
      </c>
      <c r="N8" s="3">
        <v>4000</v>
      </c>
      <c r="O8" s="3">
        <v>4000</v>
      </c>
      <c r="P8" s="3">
        <v>4000</v>
      </c>
      <c r="Q8" s="3">
        <v>3500</v>
      </c>
      <c r="R8" s="3">
        <v>4000</v>
      </c>
      <c r="S8" s="3">
        <v>6000</v>
      </c>
      <c r="T8" s="3">
        <v>5000</v>
      </c>
      <c r="U8">
        <v>6000</v>
      </c>
      <c r="V8">
        <v>6000</v>
      </c>
      <c r="W8">
        <v>5000</v>
      </c>
      <c r="X8">
        <v>7500</v>
      </c>
      <c r="Y8">
        <v>7500</v>
      </c>
      <c r="Z8">
        <v>7500</v>
      </c>
      <c r="AA8">
        <v>9000</v>
      </c>
      <c r="AB8">
        <v>9000</v>
      </c>
      <c r="AC8">
        <v>12000</v>
      </c>
      <c r="AD8">
        <v>12000</v>
      </c>
      <c r="AE8" s="10">
        <v>14000</v>
      </c>
      <c r="AF8">
        <v>16000</v>
      </c>
      <c r="AG8">
        <v>17000</v>
      </c>
      <c r="AH8">
        <v>20000</v>
      </c>
      <c r="AI8">
        <v>22000</v>
      </c>
      <c r="AJ8">
        <v>22000</v>
      </c>
      <c r="AK8">
        <v>22000</v>
      </c>
      <c r="AL8">
        <v>24000</v>
      </c>
      <c r="AM8">
        <v>25000</v>
      </c>
      <c r="AN8">
        <v>25000</v>
      </c>
      <c r="AO8">
        <v>27000</v>
      </c>
      <c r="AP8">
        <v>27000</v>
      </c>
      <c r="AQ8">
        <v>40000</v>
      </c>
      <c r="AR8">
        <v>40000</v>
      </c>
      <c r="AS8">
        <v>40000</v>
      </c>
      <c r="AT8">
        <v>40000</v>
      </c>
      <c r="AU8">
        <v>40000</v>
      </c>
      <c r="AV8">
        <v>38000</v>
      </c>
      <c r="AW8">
        <v>40000</v>
      </c>
      <c r="AX8">
        <v>40000</v>
      </c>
      <c r="AY8">
        <v>42000</v>
      </c>
      <c r="AZ8">
        <v>46000</v>
      </c>
      <c r="BA8">
        <v>46000</v>
      </c>
      <c r="BB8">
        <v>54000</v>
      </c>
      <c r="BC8">
        <v>60000</v>
      </c>
      <c r="BD8">
        <v>60000</v>
      </c>
      <c r="BE8">
        <v>50000</v>
      </c>
      <c r="BF8">
        <v>50000</v>
      </c>
      <c r="BG8">
        <v>50000</v>
      </c>
      <c r="BH8">
        <v>50000</v>
      </c>
      <c r="BI8">
        <v>56000</v>
      </c>
      <c r="BJ8">
        <v>56000</v>
      </c>
      <c r="BK8">
        <v>56000</v>
      </c>
      <c r="BL8">
        <v>55000</v>
      </c>
      <c r="BM8">
        <v>55000</v>
      </c>
      <c r="BN8" s="9"/>
    </row>
    <row r="9" spans="1:66" ht="15.75" x14ac:dyDescent="0.25">
      <c r="A9">
        <v>7121104</v>
      </c>
      <c r="B9" t="s">
        <v>30</v>
      </c>
      <c r="C9" t="s">
        <v>7</v>
      </c>
      <c r="D9" s="13" t="s">
        <v>18</v>
      </c>
      <c r="E9">
        <v>1975</v>
      </c>
      <c r="F9">
        <v>2500</v>
      </c>
      <c r="G9">
        <v>2500</v>
      </c>
      <c r="H9">
        <v>2500</v>
      </c>
      <c r="I9" s="6">
        <f>H9*1.00719672</f>
        <v>2517.9918000000002</v>
      </c>
      <c r="J9">
        <v>3800</v>
      </c>
      <c r="K9">
        <v>3800</v>
      </c>
      <c r="L9">
        <v>4000</v>
      </c>
      <c r="M9">
        <v>3500</v>
      </c>
      <c r="N9" s="3">
        <v>3500</v>
      </c>
      <c r="O9" s="3">
        <v>3500</v>
      </c>
      <c r="P9" s="3">
        <v>3500</v>
      </c>
      <c r="Q9" s="3">
        <v>3500</v>
      </c>
      <c r="R9" s="3">
        <v>4000</v>
      </c>
      <c r="S9" s="3">
        <v>4500</v>
      </c>
      <c r="T9" s="3">
        <v>5000</v>
      </c>
      <c r="U9">
        <v>5000</v>
      </c>
      <c r="V9">
        <v>5500</v>
      </c>
      <c r="W9">
        <v>5500</v>
      </c>
      <c r="X9">
        <v>6000</v>
      </c>
      <c r="Y9">
        <v>6650</v>
      </c>
      <c r="Z9">
        <v>6650</v>
      </c>
      <c r="AA9">
        <v>7000</v>
      </c>
      <c r="AB9">
        <v>7000</v>
      </c>
      <c r="AC9">
        <v>9000</v>
      </c>
      <c r="AD9">
        <v>10000</v>
      </c>
      <c r="AE9" s="10">
        <v>12000</v>
      </c>
      <c r="AF9">
        <v>12000</v>
      </c>
      <c r="AG9">
        <v>15000</v>
      </c>
      <c r="AH9">
        <v>17000</v>
      </c>
      <c r="AI9">
        <v>19000</v>
      </c>
      <c r="AJ9">
        <v>19000</v>
      </c>
      <c r="AK9">
        <v>19000</v>
      </c>
      <c r="AL9">
        <v>19000</v>
      </c>
      <c r="AM9">
        <v>19000</v>
      </c>
      <c r="AN9">
        <v>19000</v>
      </c>
      <c r="AO9">
        <v>20000</v>
      </c>
      <c r="AP9">
        <v>22000</v>
      </c>
      <c r="AQ9">
        <v>24000</v>
      </c>
      <c r="AR9">
        <v>24000</v>
      </c>
      <c r="AS9">
        <v>30000</v>
      </c>
      <c r="AT9">
        <v>36000</v>
      </c>
      <c r="AU9">
        <v>36000</v>
      </c>
      <c r="AV9">
        <v>36000</v>
      </c>
      <c r="AW9">
        <v>30000</v>
      </c>
      <c r="AX9">
        <v>30000</v>
      </c>
      <c r="AY9">
        <v>30000</v>
      </c>
      <c r="AZ9">
        <v>35000</v>
      </c>
      <c r="BA9">
        <v>35000</v>
      </c>
      <c r="BB9">
        <v>35000</v>
      </c>
      <c r="BC9">
        <v>40000</v>
      </c>
      <c r="BD9">
        <v>35000</v>
      </c>
      <c r="BE9">
        <v>45000</v>
      </c>
      <c r="BF9">
        <v>40000</v>
      </c>
      <c r="BG9">
        <v>40000</v>
      </c>
      <c r="BH9">
        <v>40000</v>
      </c>
      <c r="BI9">
        <v>40000</v>
      </c>
      <c r="BJ9">
        <v>40000</v>
      </c>
      <c r="BK9">
        <v>40000</v>
      </c>
      <c r="BL9">
        <v>40000</v>
      </c>
      <c r="BM9">
        <v>40000</v>
      </c>
    </row>
    <row r="10" spans="1:66" ht="15.75" x14ac:dyDescent="0.25">
      <c r="A10">
        <v>7121104</v>
      </c>
      <c r="B10" t="s">
        <v>30</v>
      </c>
      <c r="C10" t="s">
        <v>8</v>
      </c>
      <c r="D10" s="13" t="s">
        <v>18</v>
      </c>
      <c r="E10">
        <v>2765</v>
      </c>
      <c r="F10">
        <v>3300</v>
      </c>
      <c r="G10">
        <v>3500</v>
      </c>
      <c r="H10">
        <v>3500</v>
      </c>
      <c r="I10" s="6">
        <f>H10*1.00719672</f>
        <v>3525.1885200000002</v>
      </c>
      <c r="J10" s="7">
        <f>I10*1.04233366</f>
        <v>3674.4226522415834</v>
      </c>
      <c r="K10">
        <v>4000</v>
      </c>
      <c r="L10">
        <v>4000</v>
      </c>
      <c r="M10">
        <v>3800</v>
      </c>
      <c r="N10" s="3">
        <v>4500</v>
      </c>
      <c r="O10" s="3">
        <v>4500</v>
      </c>
      <c r="P10" s="3">
        <v>4500</v>
      </c>
      <c r="Q10" s="3">
        <v>4800</v>
      </c>
      <c r="R10" s="3">
        <v>4800</v>
      </c>
      <c r="S10" s="3">
        <v>5300</v>
      </c>
      <c r="T10" s="3">
        <v>5300</v>
      </c>
      <c r="U10">
        <v>6000</v>
      </c>
      <c r="V10">
        <v>6000</v>
      </c>
      <c r="W10">
        <v>6000</v>
      </c>
      <c r="X10">
        <v>7500</v>
      </c>
      <c r="Y10">
        <v>7600</v>
      </c>
      <c r="Z10">
        <v>7000</v>
      </c>
      <c r="AA10">
        <v>8000</v>
      </c>
      <c r="AB10">
        <v>8000</v>
      </c>
      <c r="AC10">
        <v>12000</v>
      </c>
      <c r="AD10">
        <v>12000</v>
      </c>
      <c r="AE10" s="10">
        <v>16000</v>
      </c>
      <c r="AF10">
        <v>16000</v>
      </c>
      <c r="AG10">
        <v>16000</v>
      </c>
      <c r="AH10">
        <v>20000</v>
      </c>
      <c r="AI10">
        <v>20000</v>
      </c>
      <c r="AJ10">
        <v>20000</v>
      </c>
      <c r="AK10">
        <v>20000</v>
      </c>
      <c r="AL10">
        <v>20000</v>
      </c>
      <c r="AM10">
        <v>24000</v>
      </c>
      <c r="AN10">
        <v>24000</v>
      </c>
      <c r="AO10">
        <v>26000</v>
      </c>
      <c r="AP10">
        <v>30000</v>
      </c>
      <c r="AQ10">
        <v>30000</v>
      </c>
      <c r="AR10">
        <v>30000</v>
      </c>
      <c r="AS10">
        <v>35000</v>
      </c>
      <c r="AT10">
        <v>35000</v>
      </c>
      <c r="AU10">
        <v>35000</v>
      </c>
      <c r="AV10">
        <v>35000</v>
      </c>
      <c r="AW10">
        <v>34000</v>
      </c>
      <c r="AX10">
        <v>35000</v>
      </c>
      <c r="AY10">
        <v>40000</v>
      </c>
      <c r="AZ10">
        <v>40000</v>
      </c>
      <c r="BA10">
        <v>40000</v>
      </c>
      <c r="BB10">
        <v>44000</v>
      </c>
      <c r="BC10">
        <v>50000</v>
      </c>
      <c r="BD10">
        <v>39500</v>
      </c>
      <c r="BE10">
        <v>45000</v>
      </c>
      <c r="BF10">
        <v>48000</v>
      </c>
      <c r="BG10">
        <v>48000</v>
      </c>
      <c r="BH10">
        <v>45000</v>
      </c>
      <c r="BI10">
        <v>48000</v>
      </c>
      <c r="BJ10">
        <v>50000</v>
      </c>
      <c r="BK10">
        <v>55000</v>
      </c>
      <c r="BL10">
        <v>60000</v>
      </c>
      <c r="BM10">
        <v>52000</v>
      </c>
      <c r="BN10" s="9"/>
    </row>
    <row r="11" spans="1:66" ht="15.75" x14ac:dyDescent="0.25">
      <c r="A11">
        <v>7121104</v>
      </c>
      <c r="B11" t="s">
        <v>30</v>
      </c>
      <c r="C11" t="s">
        <v>9</v>
      </c>
      <c r="D11" s="13" t="s">
        <v>16</v>
      </c>
      <c r="E11">
        <v>4621</v>
      </c>
      <c r="F11">
        <v>6000</v>
      </c>
      <c r="G11">
        <v>6500</v>
      </c>
      <c r="H11">
        <v>5850</v>
      </c>
      <c r="I11">
        <v>5850</v>
      </c>
      <c r="J11">
        <v>6500</v>
      </c>
      <c r="K11">
        <v>6500</v>
      </c>
      <c r="L11">
        <v>6500</v>
      </c>
      <c r="M11">
        <v>7800</v>
      </c>
      <c r="N11" s="3">
        <v>7800</v>
      </c>
      <c r="O11" s="3">
        <v>7800</v>
      </c>
      <c r="P11" s="3">
        <v>7800</v>
      </c>
      <c r="Q11" s="3">
        <v>8600</v>
      </c>
      <c r="R11" s="3">
        <v>8600</v>
      </c>
      <c r="S11" s="3">
        <v>9500</v>
      </c>
      <c r="T11" s="3">
        <v>11000</v>
      </c>
      <c r="U11">
        <v>11000</v>
      </c>
      <c r="V11">
        <v>11000</v>
      </c>
      <c r="W11">
        <v>11000</v>
      </c>
      <c r="X11">
        <v>13200</v>
      </c>
      <c r="Y11">
        <v>13500</v>
      </c>
      <c r="Z11">
        <v>13500</v>
      </c>
      <c r="AA11">
        <v>18000</v>
      </c>
      <c r="AB11">
        <v>18000</v>
      </c>
      <c r="AC11">
        <v>22100</v>
      </c>
      <c r="AD11">
        <v>23000</v>
      </c>
      <c r="AE11" s="10">
        <v>29300</v>
      </c>
      <c r="AF11">
        <v>26000</v>
      </c>
      <c r="AG11">
        <v>43000</v>
      </c>
      <c r="AH11">
        <v>43000</v>
      </c>
      <c r="AI11">
        <v>51600</v>
      </c>
      <c r="AJ11">
        <v>56800</v>
      </c>
      <c r="AK11">
        <v>62500</v>
      </c>
      <c r="AL11">
        <v>62500</v>
      </c>
      <c r="AM11">
        <v>70000</v>
      </c>
      <c r="AN11">
        <v>70000</v>
      </c>
      <c r="AO11">
        <v>58000</v>
      </c>
      <c r="AP11">
        <v>60000</v>
      </c>
      <c r="AQ11">
        <v>77000</v>
      </c>
      <c r="AR11">
        <v>77000</v>
      </c>
      <c r="AS11">
        <v>81000</v>
      </c>
      <c r="AT11">
        <v>90000</v>
      </c>
      <c r="AU11">
        <v>90000</v>
      </c>
      <c r="AV11">
        <v>98000</v>
      </c>
      <c r="AW11">
        <v>98000</v>
      </c>
      <c r="AX11">
        <v>98000</v>
      </c>
      <c r="AY11">
        <v>117000</v>
      </c>
      <c r="AZ11">
        <v>123000</v>
      </c>
      <c r="BA11">
        <v>100000</v>
      </c>
      <c r="BB11">
        <v>100000</v>
      </c>
      <c r="BC11">
        <v>120000</v>
      </c>
      <c r="BD11">
        <v>120000</v>
      </c>
      <c r="BE11">
        <v>100000</v>
      </c>
      <c r="BF11">
        <v>100000</v>
      </c>
      <c r="BG11">
        <v>120000</v>
      </c>
      <c r="BH11">
        <v>120000</v>
      </c>
      <c r="BI11">
        <v>120000</v>
      </c>
      <c r="BJ11">
        <v>120000</v>
      </c>
      <c r="BK11">
        <v>120000</v>
      </c>
      <c r="BL11">
        <v>130000</v>
      </c>
      <c r="BM11">
        <v>135000</v>
      </c>
      <c r="BN11" s="9"/>
    </row>
    <row r="12" spans="1:66" ht="15.75" x14ac:dyDescent="0.25">
      <c r="A12">
        <v>7121104</v>
      </c>
      <c r="B12" t="s">
        <v>30</v>
      </c>
      <c r="C12" t="s">
        <v>10</v>
      </c>
      <c r="D12" s="13" t="s">
        <v>18</v>
      </c>
      <c r="E12" s="2" t="s">
        <v>12</v>
      </c>
      <c r="F12">
        <v>3000</v>
      </c>
      <c r="G12">
        <v>3000</v>
      </c>
      <c r="H12">
        <v>3000</v>
      </c>
      <c r="I12">
        <v>4500</v>
      </c>
      <c r="J12">
        <v>3000</v>
      </c>
      <c r="K12">
        <v>3000</v>
      </c>
      <c r="L12">
        <v>3000</v>
      </c>
      <c r="M12">
        <v>3000</v>
      </c>
      <c r="N12" s="3">
        <v>3000</v>
      </c>
      <c r="O12" s="3">
        <v>3500</v>
      </c>
      <c r="P12" s="3">
        <v>4500</v>
      </c>
      <c r="Q12" s="3">
        <v>4500</v>
      </c>
      <c r="R12" s="3">
        <v>4700</v>
      </c>
      <c r="S12" s="3">
        <v>5000</v>
      </c>
      <c r="T12" s="3">
        <v>5000</v>
      </c>
      <c r="U12">
        <v>5000</v>
      </c>
      <c r="V12">
        <v>7000</v>
      </c>
      <c r="W12">
        <v>7000</v>
      </c>
      <c r="X12">
        <v>7000</v>
      </c>
      <c r="Y12">
        <v>7000</v>
      </c>
      <c r="Z12">
        <v>7000</v>
      </c>
      <c r="AA12">
        <v>7500</v>
      </c>
      <c r="AB12">
        <v>7500</v>
      </c>
      <c r="AC12">
        <v>10000</v>
      </c>
      <c r="AD12">
        <v>12000</v>
      </c>
      <c r="AE12" s="10">
        <v>12000</v>
      </c>
      <c r="AF12">
        <v>12000</v>
      </c>
      <c r="AG12">
        <v>15000</v>
      </c>
      <c r="AH12">
        <v>15000</v>
      </c>
      <c r="AI12">
        <v>15000</v>
      </c>
      <c r="AJ12">
        <v>20000</v>
      </c>
      <c r="AK12">
        <v>20000</v>
      </c>
      <c r="AL12">
        <v>20000</v>
      </c>
      <c r="AM12">
        <v>22000</v>
      </c>
      <c r="AN12">
        <v>22000</v>
      </c>
      <c r="AO12">
        <v>30000</v>
      </c>
      <c r="AP12">
        <v>30000</v>
      </c>
      <c r="AQ12">
        <v>30000</v>
      </c>
      <c r="AR12">
        <v>30000</v>
      </c>
      <c r="AS12">
        <v>30000</v>
      </c>
      <c r="AT12">
        <v>30000</v>
      </c>
      <c r="AU12">
        <v>35000</v>
      </c>
      <c r="AV12">
        <v>35000</v>
      </c>
      <c r="AW12">
        <v>35000</v>
      </c>
      <c r="AX12">
        <v>35000</v>
      </c>
      <c r="AY12">
        <v>35000</v>
      </c>
      <c r="AZ12">
        <v>35000</v>
      </c>
      <c r="BA12">
        <v>35000</v>
      </c>
      <c r="BB12">
        <v>43000</v>
      </c>
      <c r="BC12">
        <v>45000</v>
      </c>
      <c r="BD12">
        <v>45000</v>
      </c>
      <c r="BE12">
        <v>45000</v>
      </c>
      <c r="BF12">
        <v>35000</v>
      </c>
      <c r="BG12">
        <v>35000</v>
      </c>
      <c r="BH12">
        <v>40000</v>
      </c>
      <c r="BI12">
        <v>40000</v>
      </c>
      <c r="BJ12">
        <v>45000</v>
      </c>
      <c r="BK12">
        <v>45000</v>
      </c>
      <c r="BL12">
        <v>40000</v>
      </c>
      <c r="BM12">
        <v>45000</v>
      </c>
      <c r="BN12" s="9"/>
    </row>
    <row r="13" spans="1:66" ht="15.75" x14ac:dyDescent="0.25">
      <c r="A13">
        <v>7121104</v>
      </c>
      <c r="B13" t="s">
        <v>30</v>
      </c>
      <c r="C13" t="s">
        <v>13</v>
      </c>
      <c r="D13" s="13" t="s">
        <v>18</v>
      </c>
      <c r="E13" s="2"/>
      <c r="J13">
        <v>3160</v>
      </c>
      <c r="K13">
        <v>4000</v>
      </c>
      <c r="L13">
        <v>4000</v>
      </c>
      <c r="M13" s="4">
        <f>L13*1.03883945</f>
        <v>4155.3577999999998</v>
      </c>
      <c r="N13" s="3">
        <f>M13*1.06510343</f>
        <v>4425.8858456572534</v>
      </c>
      <c r="O13" s="7">
        <f>N13*1.04108406</f>
        <v>4607.7192052933869</v>
      </c>
      <c r="P13" s="7">
        <f>O13*1.03117585</f>
        <v>4751.368768079732</v>
      </c>
      <c r="Q13" s="3">
        <v>4800</v>
      </c>
      <c r="R13" s="3">
        <v>4000</v>
      </c>
      <c r="S13" s="3">
        <v>5500</v>
      </c>
      <c r="T13" s="3">
        <v>5500</v>
      </c>
      <c r="U13">
        <v>5000</v>
      </c>
      <c r="V13">
        <v>5000</v>
      </c>
      <c r="W13">
        <v>5000</v>
      </c>
      <c r="X13">
        <v>6500</v>
      </c>
      <c r="Y13">
        <v>6500</v>
      </c>
      <c r="Z13">
        <v>7000</v>
      </c>
      <c r="AA13">
        <v>8000</v>
      </c>
      <c r="AB13">
        <v>8000</v>
      </c>
      <c r="AC13">
        <v>9000</v>
      </c>
      <c r="AD13">
        <v>10000</v>
      </c>
      <c r="AE13" s="10">
        <v>15000</v>
      </c>
      <c r="AF13">
        <v>12000</v>
      </c>
      <c r="AG13">
        <v>14000</v>
      </c>
      <c r="AH13">
        <v>20000</v>
      </c>
      <c r="AI13">
        <v>22000</v>
      </c>
      <c r="AJ13">
        <v>22000</v>
      </c>
      <c r="AK13">
        <v>22000</v>
      </c>
      <c r="AL13">
        <v>26000</v>
      </c>
      <c r="AM13">
        <v>26000</v>
      </c>
      <c r="AN13">
        <v>26000</v>
      </c>
      <c r="AO13">
        <v>26000</v>
      </c>
      <c r="AP13">
        <v>27000</v>
      </c>
      <c r="AQ13">
        <v>27000</v>
      </c>
      <c r="AR13">
        <v>27000</v>
      </c>
      <c r="AS13">
        <v>30000</v>
      </c>
      <c r="AT13">
        <v>40000</v>
      </c>
      <c r="AU13">
        <v>40000</v>
      </c>
      <c r="AV13">
        <v>35000</v>
      </c>
      <c r="AW13">
        <v>40000</v>
      </c>
      <c r="AX13">
        <v>40000</v>
      </c>
      <c r="AY13">
        <v>40000</v>
      </c>
      <c r="AZ13">
        <v>40000</v>
      </c>
      <c r="BA13">
        <v>45000</v>
      </c>
      <c r="BB13">
        <v>45000</v>
      </c>
      <c r="BC13">
        <v>45000</v>
      </c>
      <c r="BD13">
        <v>45000</v>
      </c>
      <c r="BE13">
        <v>50000</v>
      </c>
      <c r="BF13">
        <v>50000</v>
      </c>
      <c r="BG13">
        <v>50000</v>
      </c>
      <c r="BH13">
        <v>50000</v>
      </c>
      <c r="BI13">
        <v>50000</v>
      </c>
      <c r="BJ13">
        <v>50000</v>
      </c>
      <c r="BK13">
        <v>50000</v>
      </c>
      <c r="BL13">
        <v>50000</v>
      </c>
      <c r="BM13">
        <v>50000</v>
      </c>
      <c r="BN13" s="9"/>
    </row>
    <row r="14" spans="1:66" ht="15.75" x14ac:dyDescent="0.25">
      <c r="A14">
        <v>7121104</v>
      </c>
      <c r="B14" t="s">
        <v>30</v>
      </c>
      <c r="C14" t="s">
        <v>14</v>
      </c>
      <c r="D14" s="13" t="s">
        <v>17</v>
      </c>
      <c r="E14" s="2"/>
      <c r="M14">
        <v>8720</v>
      </c>
      <c r="N14" s="3">
        <v>8720</v>
      </c>
      <c r="O14">
        <v>8500</v>
      </c>
      <c r="P14">
        <v>9580</v>
      </c>
      <c r="Q14">
        <v>9580</v>
      </c>
      <c r="R14">
        <v>10550</v>
      </c>
      <c r="S14">
        <v>12800</v>
      </c>
      <c r="T14" s="3">
        <v>12800</v>
      </c>
      <c r="U14">
        <v>14000</v>
      </c>
      <c r="V14">
        <v>14000</v>
      </c>
      <c r="W14">
        <v>17800</v>
      </c>
      <c r="X14">
        <v>18000</v>
      </c>
      <c r="Y14">
        <v>18000</v>
      </c>
      <c r="Z14">
        <v>18400</v>
      </c>
      <c r="AA14">
        <v>21500</v>
      </c>
      <c r="AB14">
        <v>23000</v>
      </c>
      <c r="AC14">
        <v>25900</v>
      </c>
      <c r="AD14">
        <v>29800</v>
      </c>
      <c r="AE14" s="10">
        <v>34300</v>
      </c>
      <c r="AF14">
        <v>39000</v>
      </c>
      <c r="AG14">
        <v>52000</v>
      </c>
      <c r="AH14">
        <v>63400</v>
      </c>
      <c r="AI14">
        <v>63500</v>
      </c>
      <c r="AJ14">
        <v>70000</v>
      </c>
      <c r="AK14">
        <v>80000</v>
      </c>
      <c r="AL14">
        <v>58000</v>
      </c>
      <c r="AM14">
        <v>82000</v>
      </c>
      <c r="AN14">
        <v>82000</v>
      </c>
      <c r="AO14">
        <v>85000</v>
      </c>
      <c r="AP14">
        <v>90000</v>
      </c>
      <c r="AQ14">
        <v>106500</v>
      </c>
      <c r="AR14">
        <v>110000</v>
      </c>
      <c r="AS14">
        <v>113000</v>
      </c>
      <c r="AT14">
        <v>125000</v>
      </c>
      <c r="AU14">
        <v>135000</v>
      </c>
      <c r="AV14">
        <v>133000</v>
      </c>
      <c r="AW14">
        <v>137000</v>
      </c>
      <c r="AX14">
        <v>137200</v>
      </c>
      <c r="AY14">
        <v>141300</v>
      </c>
      <c r="AZ14">
        <v>135000</v>
      </c>
      <c r="BA14">
        <v>156000</v>
      </c>
      <c r="BB14">
        <v>161000</v>
      </c>
      <c r="BC14">
        <v>176000</v>
      </c>
      <c r="BD14">
        <v>170000</v>
      </c>
      <c r="BE14">
        <v>170000</v>
      </c>
      <c r="BF14">
        <v>178000</v>
      </c>
      <c r="BG14">
        <v>182000</v>
      </c>
      <c r="BH14">
        <v>182000</v>
      </c>
      <c r="BI14">
        <v>160000</v>
      </c>
      <c r="BJ14">
        <v>160000</v>
      </c>
      <c r="BK14">
        <v>168000</v>
      </c>
      <c r="BL14">
        <v>168000</v>
      </c>
      <c r="BM14">
        <v>176000</v>
      </c>
      <c r="BN14" s="9"/>
    </row>
    <row r="15" spans="1:66" ht="15.75" x14ac:dyDescent="0.25">
      <c r="A15">
        <v>7121104</v>
      </c>
      <c r="B15" t="s">
        <v>30</v>
      </c>
      <c r="C15" t="s">
        <v>15</v>
      </c>
      <c r="D15" s="13" t="s">
        <v>17</v>
      </c>
      <c r="E15" s="2"/>
      <c r="O15">
        <v>5500</v>
      </c>
      <c r="P15">
        <v>5500</v>
      </c>
      <c r="Q15">
        <v>6000</v>
      </c>
      <c r="R15">
        <v>6600</v>
      </c>
      <c r="S15">
        <v>6800</v>
      </c>
      <c r="T15">
        <v>6500</v>
      </c>
      <c r="U15">
        <v>7000</v>
      </c>
      <c r="V15">
        <v>7000</v>
      </c>
      <c r="W15">
        <v>7000</v>
      </c>
      <c r="X15">
        <v>8000</v>
      </c>
      <c r="Y15">
        <v>8000</v>
      </c>
      <c r="Z15">
        <v>8000</v>
      </c>
      <c r="AA15">
        <v>11000</v>
      </c>
      <c r="AB15">
        <v>11000</v>
      </c>
      <c r="AC15">
        <v>13000</v>
      </c>
      <c r="AD15">
        <v>14000</v>
      </c>
      <c r="AE15" s="10">
        <v>16000</v>
      </c>
      <c r="AF15">
        <v>17000</v>
      </c>
      <c r="AG15">
        <v>19500</v>
      </c>
      <c r="AH15">
        <v>20000</v>
      </c>
      <c r="AI15">
        <v>22000</v>
      </c>
      <c r="AJ15">
        <v>24000</v>
      </c>
      <c r="AK15">
        <v>24000</v>
      </c>
      <c r="AL15">
        <v>26000</v>
      </c>
      <c r="AM15">
        <v>29000</v>
      </c>
      <c r="AN15">
        <v>29000</v>
      </c>
      <c r="AO15">
        <v>30000</v>
      </c>
      <c r="AP15">
        <v>33000</v>
      </c>
      <c r="AQ15">
        <v>35000</v>
      </c>
      <c r="AR15">
        <v>35000</v>
      </c>
      <c r="AS15">
        <v>35000</v>
      </c>
      <c r="AT15">
        <v>45000</v>
      </c>
      <c r="AU15">
        <v>45000</v>
      </c>
      <c r="AV15">
        <v>45000</v>
      </c>
      <c r="AW15">
        <v>40000</v>
      </c>
      <c r="AX15">
        <v>40000</v>
      </c>
      <c r="AY15">
        <v>42000</v>
      </c>
      <c r="AZ15">
        <v>47000</v>
      </c>
      <c r="BA15">
        <v>47000</v>
      </c>
      <c r="BB15">
        <v>47000</v>
      </c>
      <c r="BC15">
        <v>47000</v>
      </c>
      <c r="BD15">
        <v>47000</v>
      </c>
      <c r="BE15">
        <v>50000</v>
      </c>
      <c r="BF15">
        <v>57000</v>
      </c>
      <c r="BG15">
        <v>57000</v>
      </c>
      <c r="BH15">
        <v>56000</v>
      </c>
      <c r="BI15">
        <v>60000</v>
      </c>
      <c r="BJ15">
        <v>60000</v>
      </c>
      <c r="BK15">
        <v>60000</v>
      </c>
      <c r="BL15">
        <v>70000</v>
      </c>
      <c r="BM15">
        <v>60000</v>
      </c>
      <c r="BN15" s="9"/>
    </row>
    <row r="16" spans="1:66" x14ac:dyDescent="0.25">
      <c r="B16" t="s">
        <v>12</v>
      </c>
      <c r="C16" t="s">
        <v>11</v>
      </c>
      <c r="E16">
        <f>GEOMEAN(E2:E11)</f>
        <v>2718.9394675283284</v>
      </c>
      <c r="F16">
        <f>GEOMEAN(F2:F11)</f>
        <v>3487.2039981430371</v>
      </c>
      <c r="G16">
        <f t="shared" ref="G16:H16" si="0">GEOMEAN(G2:G12)</f>
        <v>3716.0223192354697</v>
      </c>
      <c r="H16">
        <f t="shared" si="0"/>
        <v>3696.9607676650903</v>
      </c>
      <c r="I16">
        <f>GEOMEAN(I2,I3,I4,I5,I6,I7,I8,I11,I12)</f>
        <v>3912.7250037083963</v>
      </c>
      <c r="J16">
        <f>GEOMEAN(J2,J3,J4,J5,J6,J7,J8,J11,J12)</f>
        <v>3914.0649790722632</v>
      </c>
      <c r="K16">
        <f>GEOMEAN(K2:K9,K11,K12,K13)</f>
        <v>4210.6005131077245</v>
      </c>
      <c r="L16">
        <f>GEOMEAN(L2:L13)</f>
        <v>4246.3410955307318</v>
      </c>
      <c r="M16">
        <f>GEOMEAN(M2:M13)</f>
        <v>4411.2666582067532</v>
      </c>
      <c r="N16">
        <f>GEOMEAN(N2:N13)</f>
        <v>4723.2153278192218</v>
      </c>
      <c r="O16">
        <f>GEOMEAN(O2:O12,O14)</f>
        <v>5203.1526318747619</v>
      </c>
      <c r="P16">
        <f t="shared" ref="P16:AN16" si="1">GEOMEAN(P2:P15)</f>
        <v>5340.1125338462671</v>
      </c>
      <c r="Q16">
        <f t="shared" si="1"/>
        <v>5426.9871509024215</v>
      </c>
      <c r="R16">
        <f t="shared" si="1"/>
        <v>5663.8584844830493</v>
      </c>
      <c r="S16">
        <f t="shared" si="1"/>
        <v>6513.3142032204396</v>
      </c>
      <c r="T16">
        <f t="shared" si="1"/>
        <v>6462.7959614348156</v>
      </c>
      <c r="U16">
        <f t="shared" si="1"/>
        <v>6828.5379904920237</v>
      </c>
      <c r="V16">
        <f t="shared" si="1"/>
        <v>7042.4223501406905</v>
      </c>
      <c r="W16">
        <f t="shared" si="1"/>
        <v>7071.5674814138174</v>
      </c>
      <c r="X16">
        <f t="shared" si="1"/>
        <v>8848.7961972425092</v>
      </c>
      <c r="Y16">
        <f t="shared" si="1"/>
        <v>8997.8669578309982</v>
      </c>
      <c r="Z16">
        <f t="shared" si="1"/>
        <v>9124.8340364784726</v>
      </c>
      <c r="AA16">
        <f t="shared" si="1"/>
        <v>10392.621440399942</v>
      </c>
      <c r="AB16">
        <f t="shared" si="1"/>
        <v>10442.805911443013</v>
      </c>
      <c r="AC16">
        <f t="shared" si="1"/>
        <v>13631.881611634015</v>
      </c>
      <c r="AD16">
        <f t="shared" si="1"/>
        <v>14384.842943862226</v>
      </c>
      <c r="AE16">
        <f t="shared" si="1"/>
        <v>16607.990871945491</v>
      </c>
      <c r="AF16">
        <f t="shared" si="1"/>
        <v>16896.242771893259</v>
      </c>
      <c r="AG16">
        <f t="shared" si="1"/>
        <v>20410.405952104058</v>
      </c>
      <c r="AH16">
        <f t="shared" si="1"/>
        <v>23051.045607905169</v>
      </c>
      <c r="AI16">
        <f t="shared" si="1"/>
        <v>25404.176582055705</v>
      </c>
      <c r="AJ16">
        <f t="shared" si="1"/>
        <v>26780.62574446588</v>
      </c>
      <c r="AK16">
        <f t="shared" si="1"/>
        <v>28128.596466983334</v>
      </c>
      <c r="AL16">
        <f t="shared" si="1"/>
        <v>28411.965791950159</v>
      </c>
      <c r="AM16">
        <f t="shared" si="1"/>
        <v>32019.665525759021</v>
      </c>
      <c r="AN16">
        <f t="shared" si="1"/>
        <v>32019.665525759021</v>
      </c>
      <c r="AO16">
        <f t="shared" ref="AO16:AT16" si="2">GEOMEAN(AO2:AO15)</f>
        <v>34933.958045780302</v>
      </c>
      <c r="AP16">
        <f t="shared" si="2"/>
        <v>37281.56189658623</v>
      </c>
      <c r="AQ16">
        <f t="shared" si="2"/>
        <v>40128.647176929953</v>
      </c>
      <c r="AR16">
        <f t="shared" si="2"/>
        <v>40228.584874072316</v>
      </c>
      <c r="AS16">
        <f t="shared" si="2"/>
        <v>42091.152504914651</v>
      </c>
      <c r="AT16">
        <f t="shared" si="2"/>
        <v>46672.469970992926</v>
      </c>
      <c r="AU16">
        <f>GEOMEAN(AU7:AU15,AU2,AU3,AU4,AU5)</f>
        <v>46088.087709622101</v>
      </c>
      <c r="AV16">
        <f t="shared" ref="AV16:BM16" si="3">GEOMEAN(AV2,AV3,AV4,AV5,AV7,AV8,AV9,AV10,AV11,AV12,AV13,AV14,AV15)</f>
        <v>45943.575538723715</v>
      </c>
      <c r="AW16">
        <f t="shared" si="3"/>
        <v>45938.956817989572</v>
      </c>
      <c r="AX16">
        <f t="shared" si="3"/>
        <v>46585.468891218297</v>
      </c>
      <c r="AY16">
        <f t="shared" si="3"/>
        <v>49543.119675741327</v>
      </c>
      <c r="AZ16">
        <f t="shared" si="3"/>
        <v>50942.093993975657</v>
      </c>
      <c r="BA16">
        <f t="shared" si="3"/>
        <v>51288.654581290619</v>
      </c>
      <c r="BB16">
        <f t="shared" si="3"/>
        <v>54326.049128476792</v>
      </c>
      <c r="BC16">
        <f t="shared" si="3"/>
        <v>58207.62570161865</v>
      </c>
      <c r="BD16">
        <f t="shared" si="3"/>
        <v>55299.410743141183</v>
      </c>
      <c r="BE16">
        <f t="shared" si="3"/>
        <v>56709.65920032985</v>
      </c>
      <c r="BF16">
        <f t="shared" si="3"/>
        <v>54973.648499553688</v>
      </c>
      <c r="BG16">
        <f t="shared" si="3"/>
        <v>57957.816698932103</v>
      </c>
      <c r="BH16">
        <f t="shared" si="3"/>
        <v>58186.949003930444</v>
      </c>
      <c r="BI16">
        <f t="shared" si="3"/>
        <v>57886.159532525919</v>
      </c>
      <c r="BJ16">
        <f t="shared" si="3"/>
        <v>60226.667514815308</v>
      </c>
      <c r="BK16">
        <f t="shared" si="3"/>
        <v>60897.972266506076</v>
      </c>
      <c r="BL16">
        <f t="shared" si="3"/>
        <v>65065.51201351839</v>
      </c>
      <c r="BM16">
        <f t="shared" si="3"/>
        <v>63155.434590686426</v>
      </c>
    </row>
    <row r="17" spans="3:65" x14ac:dyDescent="0.25">
      <c r="C17" t="s">
        <v>12</v>
      </c>
      <c r="F17" s="8">
        <f>GEOMEAN(F2:F11)/GEOMEAN(E2:E11)</f>
        <v>1.2825603658301026</v>
      </c>
      <c r="G17" s="8">
        <f>GEOMEAN(G2:G12)/GEOMEAN(F2:F12)</f>
        <v>1.0802951427880185</v>
      </c>
      <c r="H17" s="8">
        <f>GEOMEAN(H2:H12)/GEOMEAN(G2:G12)</f>
        <v>0.9948704421198683</v>
      </c>
      <c r="I17">
        <f>GEOMEAN(I2:I8,I11,I12)/GEOMEAN(H2:H8,H11,H12)</f>
        <v>1.0071967196003297</v>
      </c>
      <c r="J17">
        <f>GEOMEAN(J2:J9,J11,J12)/GEOMEAN(I2:I9,I11,I12)</f>
        <v>1.0423336623073116</v>
      </c>
      <c r="K17">
        <f t="shared" ref="K17:N17" si="4">K16/J16</f>
        <v>1.0757615255804334</v>
      </c>
      <c r="L17">
        <f t="shared" si="4"/>
        <v>1.0084882387468832</v>
      </c>
      <c r="M17">
        <f t="shared" si="4"/>
        <v>1.0388394523580795</v>
      </c>
      <c r="N17">
        <f t="shared" si="4"/>
        <v>1.070716348337754</v>
      </c>
      <c r="O17">
        <f>O16/GEOMEAN(N2:N12,N14)</f>
        <v>1.0410840614104193</v>
      </c>
      <c r="P17">
        <f>P16/GEOMEAN(O2:O15)</f>
        <v>1.0311758458802425</v>
      </c>
      <c r="AG17" t="s">
        <v>12</v>
      </c>
      <c r="AH17" t="s">
        <v>12</v>
      </c>
      <c r="AI17" t="s">
        <v>12</v>
      </c>
      <c r="AJ17" t="s">
        <v>12</v>
      </c>
      <c r="AK17" t="s">
        <v>12</v>
      </c>
      <c r="AL17" t="s">
        <v>12</v>
      </c>
      <c r="AN17" t="s">
        <v>12</v>
      </c>
      <c r="AO17" t="s">
        <v>12</v>
      </c>
      <c r="AP17" t="s">
        <v>12</v>
      </c>
      <c r="AQ17" t="s">
        <v>12</v>
      </c>
      <c r="AR17" t="s">
        <v>12</v>
      </c>
      <c r="AS17" t="s">
        <v>12</v>
      </c>
      <c r="AT17">
        <f>GEOMEAN(AT7:AT15,AT2,AT3,AT4,AT5)</f>
        <v>45220.827544978769</v>
      </c>
      <c r="BH17" t="s">
        <v>12</v>
      </c>
      <c r="BI17" t="s">
        <v>12</v>
      </c>
    </row>
    <row r="18" spans="3:65" x14ac:dyDescent="0.25">
      <c r="I18" s="8">
        <f>GEOMEAN(I2:I12)/GEOMEAN(H2:H12)</f>
        <v>1.007196719672997</v>
      </c>
      <c r="J18" s="8">
        <f>GEOMEAN(J2:J12)/GEOMEAN(I2:I12)</f>
        <v>1.0423336620975558</v>
      </c>
      <c r="K18" s="8">
        <f>GEOMEAN(K2:K13)/GEOMEAN(J2:J13)</f>
        <v>1.0989072260923887</v>
      </c>
      <c r="L18" s="8">
        <f>GEOMEAN(L2:L13)/GEOMEAN(K2:K13)</f>
        <v>1.0128096758167504</v>
      </c>
      <c r="M18" s="8">
        <f>GEOMEAN(M2:M13)/GEOMEAN(L2:L13)</f>
        <v>1.0388394523580795</v>
      </c>
      <c r="N18" s="8">
        <f>GEOMEAN(N2:N14)/GEOMEAN(M2:M14)</f>
        <v>1.0651034343542845</v>
      </c>
      <c r="O18">
        <f>GEOMEAN(O2:O14)/GEOMEAN(N2:N14)</f>
        <v>1.0410840613019254</v>
      </c>
      <c r="AK18" t="s">
        <v>12</v>
      </c>
      <c r="AL18" t="s">
        <v>12</v>
      </c>
      <c r="AM18" t="s">
        <v>12</v>
      </c>
      <c r="AP18" t="s">
        <v>12</v>
      </c>
      <c r="AQ18" t="s">
        <v>12</v>
      </c>
      <c r="AS18" t="s">
        <v>12</v>
      </c>
      <c r="AT18" t="s">
        <v>12</v>
      </c>
      <c r="AU18" t="s">
        <v>12</v>
      </c>
      <c r="BI18" t="s">
        <v>12</v>
      </c>
    </row>
    <row r="19" spans="3:65" x14ac:dyDescent="0.25">
      <c r="M19" s="3">
        <f>GEOMEAN(M2:M12,M14)</f>
        <v>4692.3347072813422</v>
      </c>
      <c r="N19" s="3">
        <f>GEOMEAN(N2:N12,N14)</f>
        <v>4997.8218135678089</v>
      </c>
    </row>
    <row r="20" spans="3:65" x14ac:dyDescent="0.25">
      <c r="C20" t="s">
        <v>24</v>
      </c>
      <c r="M20" t="s">
        <v>12</v>
      </c>
      <c r="N20" s="3">
        <f>N19/M19</f>
        <v>1.0651034347171413</v>
      </c>
      <c r="Q20">
        <f t="shared" ref="Q20:AD20" si="5">Q16/P16</f>
        <v>1.016268312045024</v>
      </c>
      <c r="R20">
        <f t="shared" si="5"/>
        <v>1.0436469309755487</v>
      </c>
      <c r="S20">
        <f t="shared" si="5"/>
        <v>1.1499782738330409</v>
      </c>
      <c r="T20">
        <f t="shared" si="5"/>
        <v>0.99224385002635895</v>
      </c>
      <c r="U20">
        <f t="shared" si="5"/>
        <v>1.0565919195406579</v>
      </c>
      <c r="V20">
        <f t="shared" si="5"/>
        <v>1.0313221307322997</v>
      </c>
      <c r="W20">
        <f t="shared" si="5"/>
        <v>1.0041385094253179</v>
      </c>
      <c r="X20">
        <f t="shared" si="5"/>
        <v>1.2513203360499321</v>
      </c>
      <c r="Y20">
        <f t="shared" si="5"/>
        <v>1.0168464452413248</v>
      </c>
      <c r="Z20">
        <f t="shared" si="5"/>
        <v>1.0141107975081776</v>
      </c>
      <c r="AA20">
        <f t="shared" si="5"/>
        <v>1.1389381328858386</v>
      </c>
      <c r="AB20">
        <f t="shared" si="5"/>
        <v>1.0048288558696061</v>
      </c>
      <c r="AC20">
        <f t="shared" si="5"/>
        <v>1.3053849441649086</v>
      </c>
      <c r="AD20">
        <f t="shared" si="5"/>
        <v>1.0552353192082891</v>
      </c>
      <c r="AE20">
        <f t="shared" ref="AE20" si="6">AE16/AD16</f>
        <v>1.1545479458315424</v>
      </c>
      <c r="AF20">
        <f t="shared" ref="AF20:AO20" si="7">AF16/AE16</f>
        <v>1.017356217387781</v>
      </c>
      <c r="AG20">
        <f t="shared" si="7"/>
        <v>1.2079848891646239</v>
      </c>
      <c r="AH20">
        <f t="shared" si="7"/>
        <v>1.1293771256680416</v>
      </c>
      <c r="AI20">
        <f t="shared" si="7"/>
        <v>1.1020834809048119</v>
      </c>
      <c r="AJ20">
        <f t="shared" si="7"/>
        <v>1.0541820026311119</v>
      </c>
      <c r="AK20">
        <f t="shared" si="7"/>
        <v>1.050333802330814</v>
      </c>
      <c r="AL20">
        <f t="shared" si="7"/>
        <v>1.010074065561694</v>
      </c>
      <c r="AM20">
        <f t="shared" si="7"/>
        <v>1.1269781809617347</v>
      </c>
      <c r="AN20">
        <f t="shared" si="7"/>
        <v>1</v>
      </c>
      <c r="AO20">
        <f t="shared" si="7"/>
        <v>1.0910157077586211</v>
      </c>
      <c r="AP20">
        <f>AP16/AO16</f>
        <v>1.0672011985509755</v>
      </c>
      <c r="AQ20">
        <f>AQ16/AP16</f>
        <v>1.0763671138092641</v>
      </c>
      <c r="AR20">
        <f>AR16/AQ16</f>
        <v>1.0024904327499935</v>
      </c>
      <c r="AS20">
        <f>AS16/AR16</f>
        <v>1.0462996060307053</v>
      </c>
      <c r="AT20">
        <f>AT16/AS16</f>
        <v>1.1088427660787703</v>
      </c>
      <c r="AU20">
        <f>AU16/AT17</f>
        <v>1.0191783346684824</v>
      </c>
      <c r="AV20">
        <f t="shared" ref="AV20:BM20" si="8">AV16/AU16</f>
        <v>0.99686443551728843</v>
      </c>
      <c r="AW20">
        <f t="shared" si="8"/>
        <v>0.99989946971518906</v>
      </c>
      <c r="AX20">
        <f t="shared" si="8"/>
        <v>1.0140732858995951</v>
      </c>
      <c r="AY20">
        <f t="shared" si="8"/>
        <v>1.0634886984057075</v>
      </c>
      <c r="AZ20">
        <f t="shared" si="8"/>
        <v>1.0282375096156759</v>
      </c>
      <c r="BA20">
        <f t="shared" si="8"/>
        <v>1.0068030298745856</v>
      </c>
      <c r="BB20">
        <f t="shared" si="8"/>
        <v>1.0592215680442936</v>
      </c>
      <c r="BC20">
        <f t="shared" si="8"/>
        <v>1.0714496385327459</v>
      </c>
      <c r="BD20">
        <f t="shared" si="8"/>
        <v>0.95003721723017132</v>
      </c>
      <c r="BE20">
        <f t="shared" si="8"/>
        <v>1.0255020521599967</v>
      </c>
      <c r="BF20">
        <f t="shared" si="8"/>
        <v>0.96938774231311087</v>
      </c>
      <c r="BG20">
        <f t="shared" si="8"/>
        <v>1.0542836118909342</v>
      </c>
      <c r="BH20">
        <f t="shared" si="8"/>
        <v>1.0039534323073036</v>
      </c>
      <c r="BI20">
        <f t="shared" si="8"/>
        <v>0.9948306368257217</v>
      </c>
      <c r="BJ20">
        <f t="shared" si="8"/>
        <v>1.0404329463414181</v>
      </c>
      <c r="BK20">
        <f t="shared" si="8"/>
        <v>1.0111463041106439</v>
      </c>
      <c r="BL20">
        <f t="shared" si="8"/>
        <v>1.0684347867737538</v>
      </c>
      <c r="BM20">
        <f t="shared" si="8"/>
        <v>0.97064378095672077</v>
      </c>
    </row>
    <row r="21" spans="3:65" x14ac:dyDescent="0.25">
      <c r="M21" t="s">
        <v>12</v>
      </c>
    </row>
    <row r="22" spans="3:65" x14ac:dyDescent="0.25">
      <c r="M22" t="s">
        <v>12</v>
      </c>
      <c r="BK22" t="s">
        <v>25</v>
      </c>
    </row>
    <row r="23" spans="3:65" x14ac:dyDescent="0.25">
      <c r="W23" s="9"/>
      <c r="BK23" t="s">
        <v>26</v>
      </c>
    </row>
    <row r="24" spans="3:65" x14ac:dyDescent="0.25">
      <c r="BK24" t="s">
        <v>27</v>
      </c>
    </row>
    <row r="25" spans="3:65" x14ac:dyDescent="0.25">
      <c r="AY25" t="s">
        <v>12</v>
      </c>
    </row>
    <row r="26" spans="3:65" x14ac:dyDescent="0.25">
      <c r="AY26" t="s">
        <v>12</v>
      </c>
    </row>
    <row r="27" spans="3:65" x14ac:dyDescent="0.25">
      <c r="AY27" t="s">
        <v>12</v>
      </c>
    </row>
    <row r="28" spans="3:65" x14ac:dyDescent="0.25">
      <c r="AY28" t="s">
        <v>12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2022-02-14T12:26:11Z</dcterms:created>
  <dcterms:modified xsi:type="dcterms:W3CDTF">2026-10-20T12:46:29Z</dcterms:modified>
</cp:coreProperties>
</file>